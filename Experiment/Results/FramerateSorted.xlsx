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Howest\GD_J3_S2\Gradwork_2.0\Gradwork\Experiment\Results\"/>
    </mc:Choice>
  </mc:AlternateContent>
  <xr:revisionPtr revIDLastSave="0" documentId="13_ncr:1_{99A712D1-3E82-42AF-9D45-BA37ED3DA9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SAO" sheetId="1" r:id="rId1"/>
    <sheet name="HBAO" sheetId="2" r:id="rId2"/>
    <sheet name="GTA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3" l="1"/>
  <c r="D6" i="3"/>
  <c r="D7" i="3"/>
  <c r="D8" i="3"/>
  <c r="D9" i="3"/>
  <c r="D10" i="3"/>
  <c r="D11" i="3"/>
  <c r="D12" i="3"/>
  <c r="D13" i="3"/>
  <c r="D14" i="3"/>
  <c r="D15" i="3"/>
  <c r="D4" i="3"/>
  <c r="D5" i="2"/>
  <c r="D6" i="2"/>
  <c r="D7" i="2"/>
  <c r="D8" i="2"/>
  <c r="D9" i="2"/>
  <c r="D10" i="2"/>
  <c r="D11" i="2"/>
  <c r="D12" i="2"/>
  <c r="D13" i="2"/>
  <c r="D14" i="2"/>
  <c r="D15" i="2"/>
  <c r="D4" i="2"/>
  <c r="D5" i="1"/>
  <c r="D6" i="1"/>
  <c r="D7" i="1"/>
  <c r="D8" i="1"/>
  <c r="D9" i="1"/>
  <c r="D10" i="1"/>
  <c r="D11" i="1"/>
  <c r="D12" i="1"/>
  <c r="D13" i="1"/>
  <c r="D14" i="1"/>
  <c r="D15" i="1"/>
  <c r="D4" i="1"/>
</calcChain>
</file>

<file path=xl/sharedStrings.xml><?xml version="1.0" encoding="utf-8"?>
<sst xmlns="http://schemas.openxmlformats.org/spreadsheetml/2006/main" count="48" uniqueCount="7">
  <si>
    <t>Samples</t>
  </si>
  <si>
    <t>Resolution</t>
  </si>
  <si>
    <t>Average</t>
  </si>
  <si>
    <t>800*600</t>
  </si>
  <si>
    <t>1920*991</t>
  </si>
  <si>
    <t>3840*2054</t>
  </si>
  <si>
    <t>AoGenDuration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</si>
</sst>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24">
    <xf numFmtId="0" fontId="0" fillId="0" borderId="0" xfId="0"/>
    <xf numFmtId="0" fontId="1" fillId="4" borderId="1" xfId="3" applyBorder="1"/>
    <xf numFmtId="0" fontId="1" fillId="4" borderId="2" xfId="3" applyBorder="1"/>
    <xf numFmtId="0" fontId="1" fillId="3" borderId="5" xfId="2" applyBorder="1"/>
    <xf numFmtId="0" fontId="1" fillId="3" borderId="6" xfId="2" applyBorder="1"/>
    <xf numFmtId="0" fontId="1" fillId="3" borderId="7" xfId="2" applyBorder="1"/>
    <xf numFmtId="0" fontId="1" fillId="3" borderId="8" xfId="2" applyBorder="1"/>
    <xf numFmtId="0" fontId="1" fillId="3" borderId="11" xfId="2" applyBorder="1"/>
    <xf numFmtId="0" fontId="1" fillId="3" borderId="9" xfId="2" applyBorder="1"/>
    <xf numFmtId="0" fontId="1" fillId="3" borderId="10" xfId="2" applyBorder="1"/>
    <xf numFmtId="0" fontId="1" fillId="2" borderId="3" xfId="1" applyBorder="1"/>
    <xf numFmtId="0" fontId="1" fillId="2" borderId="4" xfId="1" applyBorder="1"/>
    <xf numFmtId="0" fontId="1" fillId="2" borderId="5" xfId="1" applyBorder="1"/>
    <xf numFmtId="0" fontId="1" fillId="2" borderId="6" xfId="1" applyBorder="1"/>
    <xf numFmtId="0" fontId="1" fillId="2" borderId="7" xfId="1" applyBorder="1"/>
    <xf numFmtId="0" fontId="1" fillId="2" borderId="8" xfId="1" applyBorder="1"/>
    <xf numFmtId="0" fontId="1" fillId="5" borderId="5" xfId="4" applyBorder="1"/>
    <xf numFmtId="0" fontId="1" fillId="5" borderId="8" xfId="4" applyBorder="1"/>
    <xf numFmtId="0" fontId="1" fillId="5" borderId="4" xfId="4" applyBorder="1"/>
    <xf numFmtId="0" fontId="1" fillId="5" borderId="7" xfId="4" applyBorder="1"/>
    <xf numFmtId="0" fontId="1" fillId="6" borderId="8" xfId="5" applyBorder="1"/>
    <xf numFmtId="0" fontId="1" fillId="6" borderId="11" xfId="5" applyBorder="1"/>
    <xf numFmtId="0" fontId="1" fillId="6" borderId="7" xfId="5" applyBorder="1"/>
    <xf numFmtId="0" fontId="1" fillId="7" borderId="2" xfId="6" applyBorder="1"/>
  </cellXfs>
  <cellStyles count="7">
    <cellStyle name="20% - Accent2" xfId="4" builtinId="34"/>
    <cellStyle name="20% - Accent6" xfId="1" builtinId="50"/>
    <cellStyle name="40% - Accent2" xfId="5" builtinId="35"/>
    <cellStyle name="40% - Accent6" xfId="2" builtinId="51"/>
    <cellStyle name="60% - Accent2" xfId="6" builtinId="36"/>
    <cellStyle name="60% - Accent6" xfId="3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15"/>
  <sheetViews>
    <sheetView zoomScaleNormal="100" workbookViewId="0">
      <selection activeCell="D15" sqref="D15"/>
    </sheetView>
  </sheetViews>
  <sheetFormatPr defaultRowHeight="14.4" x14ac:dyDescent="0.3"/>
  <cols>
    <col min="2" max="2" width="14.44140625" bestFit="1" customWidth="1"/>
    <col min="3" max="3" width="10" bestFit="1" customWidth="1"/>
    <col min="4" max="4" width="12" bestFit="1" customWidth="1"/>
    <col min="5" max="7" width="11.21875" bestFit="1" customWidth="1"/>
    <col min="8" max="8" width="11" bestFit="1" customWidth="1"/>
    <col min="9" max="10" width="11.21875" bestFit="1" customWidth="1"/>
    <col min="11" max="11" width="11" bestFit="1" customWidth="1"/>
    <col min="12" max="13" width="11.21875" bestFit="1" customWidth="1"/>
    <col min="14" max="14" width="11" bestFit="1" customWidth="1"/>
    <col min="15" max="18" width="11.21875" bestFit="1" customWidth="1"/>
    <col min="19" max="19" width="11" bestFit="1" customWidth="1"/>
    <col min="20" max="24" width="11.21875" bestFit="1" customWidth="1"/>
  </cols>
  <sheetData>
    <row r="2" spans="2:24" ht="15" thickBot="1" x14ac:dyDescent="0.35">
      <c r="B2" t="s">
        <v>6</v>
      </c>
    </row>
    <row r="3" spans="2:24" ht="15" thickBot="1" x14ac:dyDescent="0.35">
      <c r="B3" s="1" t="s">
        <v>0</v>
      </c>
      <c r="C3" s="2" t="s">
        <v>1</v>
      </c>
      <c r="D3" s="2" t="s">
        <v>2</v>
      </c>
      <c r="E3" s="23">
        <v>1</v>
      </c>
      <c r="F3" s="23">
        <v>2</v>
      </c>
      <c r="G3" s="23">
        <v>3</v>
      </c>
      <c r="H3" s="23">
        <v>4</v>
      </c>
      <c r="I3" s="23">
        <v>5</v>
      </c>
      <c r="J3" s="2">
        <v>6</v>
      </c>
      <c r="K3" s="2">
        <v>7</v>
      </c>
      <c r="L3" s="2">
        <v>8</v>
      </c>
      <c r="M3" s="2">
        <v>9</v>
      </c>
      <c r="N3" s="2">
        <v>10</v>
      </c>
      <c r="O3" s="2">
        <v>11</v>
      </c>
      <c r="P3" s="2">
        <v>12</v>
      </c>
      <c r="Q3" s="2">
        <v>13</v>
      </c>
      <c r="R3" s="2">
        <v>14</v>
      </c>
      <c r="S3" s="2">
        <v>15</v>
      </c>
      <c r="T3" s="23">
        <v>16</v>
      </c>
      <c r="U3" s="23">
        <v>17</v>
      </c>
      <c r="V3" s="23">
        <v>18</v>
      </c>
      <c r="W3" s="23">
        <v>19</v>
      </c>
      <c r="X3" s="23">
        <v>20</v>
      </c>
    </row>
    <row r="4" spans="2:24" x14ac:dyDescent="0.3">
      <c r="B4" s="10">
        <v>16</v>
      </c>
      <c r="C4" s="11" t="s">
        <v>3</v>
      </c>
      <c r="D4" s="12">
        <f>AVERAGE(J4:S4)</f>
        <v>8.8779200000000003E-2</v>
      </c>
      <c r="E4" s="16">
        <v>8.1920000000000007E-2</v>
      </c>
      <c r="F4" s="16">
        <v>8.2944000000000004E-2</v>
      </c>
      <c r="G4" s="16">
        <v>8.4991999999999998E-2</v>
      </c>
      <c r="H4" s="16">
        <v>8.6015999999999995E-2</v>
      </c>
      <c r="I4" s="16">
        <v>8.7040000000000006E-2</v>
      </c>
      <c r="J4" s="12">
        <v>8.7040000000000006E-2</v>
      </c>
      <c r="K4" s="12">
        <v>8.7040000000000006E-2</v>
      </c>
      <c r="L4" s="12">
        <v>8.7040000000000006E-2</v>
      </c>
      <c r="M4" s="12">
        <v>8.8064000000000003E-2</v>
      </c>
      <c r="N4" s="12">
        <v>8.8064000000000003E-2</v>
      </c>
      <c r="O4" s="12">
        <v>8.9088000000000001E-2</v>
      </c>
      <c r="P4" s="12">
        <v>9.0111999999999998E-2</v>
      </c>
      <c r="Q4" s="12">
        <v>9.0111999999999998E-2</v>
      </c>
      <c r="R4" s="12">
        <v>9.0111999999999998E-2</v>
      </c>
      <c r="S4" s="12">
        <v>9.1120000000000007E-2</v>
      </c>
      <c r="T4" s="16">
        <v>9.2160000000000006E-2</v>
      </c>
      <c r="U4" s="16">
        <v>0.24268799999999999</v>
      </c>
      <c r="V4" s="16">
        <v>0.25292799999999999</v>
      </c>
      <c r="W4" s="18">
        <v>0.65228799999999998</v>
      </c>
      <c r="X4" s="16">
        <v>0.90726399999999996</v>
      </c>
    </row>
    <row r="5" spans="2:24" x14ac:dyDescent="0.3">
      <c r="B5" s="13">
        <v>16</v>
      </c>
      <c r="C5" s="14" t="s">
        <v>4</v>
      </c>
      <c r="D5" s="12">
        <f t="shared" ref="D5:D15" si="0">AVERAGE(J5:S5)</f>
        <v>0.32061439999999997</v>
      </c>
      <c r="E5" s="17">
        <v>0.30310399999999998</v>
      </c>
      <c r="F5" s="17">
        <v>0.30924800000000002</v>
      </c>
      <c r="G5" s="17">
        <v>0.31072699999999998</v>
      </c>
      <c r="H5" s="17">
        <v>0.31129600000000002</v>
      </c>
      <c r="I5" s="17">
        <v>0.31436799999999998</v>
      </c>
      <c r="J5" s="15">
        <v>0.31641599999999998</v>
      </c>
      <c r="K5" s="15">
        <v>0.31641599999999998</v>
      </c>
      <c r="L5" s="15">
        <v>0.31846400000000002</v>
      </c>
      <c r="M5" s="15">
        <v>0.31948799999999999</v>
      </c>
      <c r="N5" s="15">
        <v>0.32051200000000002</v>
      </c>
      <c r="O5" s="15">
        <v>0.32051200000000002</v>
      </c>
      <c r="P5" s="15">
        <v>0.32153599999999999</v>
      </c>
      <c r="Q5" s="15">
        <v>0.32153599999999999</v>
      </c>
      <c r="R5" s="15">
        <v>0.32358399999999998</v>
      </c>
      <c r="S5" s="15">
        <v>0.32768000000000003</v>
      </c>
      <c r="T5" s="17">
        <v>0.32972800000000002</v>
      </c>
      <c r="U5" s="17">
        <v>0.33823999999999999</v>
      </c>
      <c r="V5" s="17">
        <v>0.69017600000000001</v>
      </c>
      <c r="W5" s="19">
        <v>0.86118399999999995</v>
      </c>
      <c r="X5" s="17">
        <v>4.0857599999999996</v>
      </c>
    </row>
    <row r="6" spans="2:24" x14ac:dyDescent="0.3">
      <c r="B6" s="13">
        <v>16</v>
      </c>
      <c r="C6" s="14" t="s">
        <v>5</v>
      </c>
      <c r="D6" s="12">
        <f t="shared" si="0"/>
        <v>1.4235648000000001</v>
      </c>
      <c r="E6" s="17">
        <v>1.2124159999999999</v>
      </c>
      <c r="F6" s="17">
        <v>1.2902400000000001</v>
      </c>
      <c r="G6" s="17">
        <v>1.301504</v>
      </c>
      <c r="H6" s="17">
        <v>1.3209599999999999</v>
      </c>
      <c r="I6" s="17">
        <v>1.333248</v>
      </c>
      <c r="J6" s="15">
        <v>1.3557760000000001</v>
      </c>
      <c r="K6" s="15">
        <v>1.3813759999999999</v>
      </c>
      <c r="L6" s="15">
        <v>1.3926400000000001</v>
      </c>
      <c r="M6" s="15">
        <v>1.3926400000000001</v>
      </c>
      <c r="N6" s="15">
        <v>1.4213119999999999</v>
      </c>
      <c r="O6" s="15">
        <v>1.4295040000000001</v>
      </c>
      <c r="P6" s="15">
        <v>1.435648</v>
      </c>
      <c r="Q6" s="15">
        <v>1.4530559999999999</v>
      </c>
      <c r="R6" s="15">
        <v>1.4745600000000001</v>
      </c>
      <c r="S6" s="15">
        <v>1.499136</v>
      </c>
      <c r="T6" s="17">
        <v>1.528832</v>
      </c>
      <c r="U6" s="17">
        <v>2.911232</v>
      </c>
      <c r="V6" s="17">
        <v>3.4815999999999998</v>
      </c>
      <c r="W6" s="19">
        <v>3.8215680000000001</v>
      </c>
      <c r="X6" s="17">
        <v>5.1558400000000004</v>
      </c>
    </row>
    <row r="7" spans="2:24" x14ac:dyDescent="0.3">
      <c r="B7" s="4">
        <v>64</v>
      </c>
      <c r="C7" s="5" t="s">
        <v>3</v>
      </c>
      <c r="D7" s="3">
        <f t="shared" si="0"/>
        <v>0.33969280000000002</v>
      </c>
      <c r="E7" s="20">
        <v>0.31846400000000002</v>
      </c>
      <c r="F7" s="20">
        <v>0.32460800000000001</v>
      </c>
      <c r="G7" s="20">
        <v>0.32460800000000001</v>
      </c>
      <c r="H7" s="20">
        <v>0.326656</v>
      </c>
      <c r="I7" s="20">
        <v>0.33382400000000001</v>
      </c>
      <c r="J7" s="6">
        <v>0.33484799999999998</v>
      </c>
      <c r="K7" s="6">
        <v>0.33689599999999997</v>
      </c>
      <c r="L7" s="6">
        <v>0.33823999999999999</v>
      </c>
      <c r="M7" s="6">
        <v>0.33894400000000002</v>
      </c>
      <c r="N7" s="6">
        <v>0.33894400000000002</v>
      </c>
      <c r="O7" s="6">
        <v>0.33894400000000002</v>
      </c>
      <c r="P7" s="6">
        <v>0.33996799999999999</v>
      </c>
      <c r="Q7" s="6">
        <v>0.34099200000000002</v>
      </c>
      <c r="R7" s="6">
        <v>0.34406399999999998</v>
      </c>
      <c r="S7" s="6">
        <v>0.34508800000000001</v>
      </c>
      <c r="T7" s="20">
        <v>0.48742400000000002</v>
      </c>
      <c r="U7" s="20">
        <v>0.49971199999999999</v>
      </c>
      <c r="V7" s="20">
        <v>0.53657600000000005</v>
      </c>
      <c r="W7" s="22">
        <v>1.206272</v>
      </c>
      <c r="X7" s="20">
        <v>1.7827839999999999</v>
      </c>
    </row>
    <row r="8" spans="2:24" x14ac:dyDescent="0.3">
      <c r="B8" s="4">
        <v>64</v>
      </c>
      <c r="C8" s="5" t="s">
        <v>4</v>
      </c>
      <c r="D8" s="3">
        <f t="shared" si="0"/>
        <v>1.2341248</v>
      </c>
      <c r="E8" s="20">
        <v>1.1991039999999999</v>
      </c>
      <c r="F8" s="20">
        <v>1.2032</v>
      </c>
      <c r="G8" s="20">
        <v>1.2072959999999999</v>
      </c>
      <c r="H8" s="20">
        <v>1.2083200000000001</v>
      </c>
      <c r="I8" s="20">
        <v>1.211392</v>
      </c>
      <c r="J8" s="6">
        <v>1.2206079999999999</v>
      </c>
      <c r="K8" s="6">
        <v>1.2236800000000001</v>
      </c>
      <c r="L8" s="6">
        <v>1.2257279999999999</v>
      </c>
      <c r="M8" s="6">
        <v>1.227776</v>
      </c>
      <c r="N8" s="6">
        <v>1.2308479999999999</v>
      </c>
      <c r="O8" s="6">
        <v>1.2339199999999999</v>
      </c>
      <c r="P8" s="6">
        <v>1.234944</v>
      </c>
      <c r="Q8" s="6">
        <v>1.2390399999999999</v>
      </c>
      <c r="R8" s="6">
        <v>1.2451840000000001</v>
      </c>
      <c r="S8" s="6">
        <v>1.25952</v>
      </c>
      <c r="T8" s="20">
        <v>1.5400959999999999</v>
      </c>
      <c r="U8" s="20">
        <v>1.77152</v>
      </c>
      <c r="V8" s="20">
        <v>1.8728959999999999</v>
      </c>
      <c r="W8" s="22">
        <v>1.9097599999999999</v>
      </c>
      <c r="X8" s="20">
        <v>7.8202879999999997</v>
      </c>
    </row>
    <row r="9" spans="2:24" x14ac:dyDescent="0.3">
      <c r="B9" s="4">
        <v>64</v>
      </c>
      <c r="C9" s="5" t="s">
        <v>5</v>
      </c>
      <c r="D9" s="3">
        <f t="shared" si="0"/>
        <v>5.2716544000000001</v>
      </c>
      <c r="E9" s="20">
        <v>4.8824319999999997</v>
      </c>
      <c r="F9" s="20">
        <v>4.9323079999999999</v>
      </c>
      <c r="G9" s="20">
        <v>4.9684480000000004</v>
      </c>
      <c r="H9" s="20">
        <v>4.9802239999999998</v>
      </c>
      <c r="I9" s="20">
        <v>4.9991680000000001</v>
      </c>
      <c r="J9" s="6">
        <v>5.01248</v>
      </c>
      <c r="K9" s="6">
        <v>5.0728960000000001</v>
      </c>
      <c r="L9" s="6">
        <v>5.2008960000000002</v>
      </c>
      <c r="M9" s="6">
        <v>5.2848639999999998</v>
      </c>
      <c r="N9" s="6">
        <v>5.3022720000000003</v>
      </c>
      <c r="O9" s="6">
        <v>5.3340160000000001</v>
      </c>
      <c r="P9" s="6">
        <v>5.3585919999999998</v>
      </c>
      <c r="Q9" s="6">
        <v>5.3708799999999997</v>
      </c>
      <c r="R9" s="6">
        <v>5.3821440000000003</v>
      </c>
      <c r="S9" s="6">
        <v>5.3975039999999996</v>
      </c>
      <c r="T9" s="20">
        <v>5.4609920000000001</v>
      </c>
      <c r="U9" s="20">
        <v>5.5224320000000002</v>
      </c>
      <c r="V9" s="20">
        <v>5.6330239999999998</v>
      </c>
      <c r="W9" s="22">
        <v>5.8654719999999996</v>
      </c>
      <c r="X9" s="20">
        <v>6.4133120000000003</v>
      </c>
    </row>
    <row r="10" spans="2:24" x14ac:dyDescent="0.3">
      <c r="B10" s="13">
        <v>256</v>
      </c>
      <c r="C10" s="14" t="s">
        <v>3</v>
      </c>
      <c r="D10" s="12">
        <f t="shared" si="0"/>
        <v>1.3297664</v>
      </c>
      <c r="E10" s="17">
        <v>1.3056000000000001</v>
      </c>
      <c r="F10" s="17">
        <v>1.3086720000000001</v>
      </c>
      <c r="G10" s="17">
        <v>1.3086720000000001</v>
      </c>
      <c r="H10" s="17">
        <v>1.309696</v>
      </c>
      <c r="I10" s="17">
        <v>1.309696</v>
      </c>
      <c r="J10" s="15">
        <v>1.3107200000000001</v>
      </c>
      <c r="K10" s="15">
        <v>1.325056</v>
      </c>
      <c r="L10" s="15">
        <v>1.3260799999999999</v>
      </c>
      <c r="M10" s="15">
        <v>1.3271040000000001</v>
      </c>
      <c r="N10" s="15">
        <v>1.3271040000000001</v>
      </c>
      <c r="O10" s="15">
        <v>1.330176</v>
      </c>
      <c r="P10" s="15">
        <v>1.335296</v>
      </c>
      <c r="Q10" s="15">
        <v>1.3373440000000001</v>
      </c>
      <c r="R10" s="15">
        <v>1.3393919999999999</v>
      </c>
      <c r="S10" s="15">
        <v>1.3393919999999999</v>
      </c>
      <c r="T10" s="17">
        <v>1.34144</v>
      </c>
      <c r="U10" s="17">
        <v>1.343488</v>
      </c>
      <c r="V10" s="17">
        <v>1.3475839999999999</v>
      </c>
      <c r="W10" s="19">
        <v>1.3895679999999999</v>
      </c>
      <c r="X10" s="17">
        <v>1.581056</v>
      </c>
    </row>
    <row r="11" spans="2:24" x14ac:dyDescent="0.3">
      <c r="B11" s="13">
        <v>256</v>
      </c>
      <c r="C11" s="14" t="s">
        <v>4</v>
      </c>
      <c r="D11" s="12">
        <f t="shared" si="0"/>
        <v>4.8957440000000005</v>
      </c>
      <c r="E11" s="17">
        <v>4.8476160000000004</v>
      </c>
      <c r="F11" s="17">
        <v>4.8506879999999999</v>
      </c>
      <c r="G11" s="17">
        <v>4.851712</v>
      </c>
      <c r="H11" s="17">
        <v>4.8527360000000002</v>
      </c>
      <c r="I11" s="17">
        <v>4.8558079999999997</v>
      </c>
      <c r="J11" s="15">
        <v>4.8588800000000001</v>
      </c>
      <c r="K11" s="15">
        <v>4.8629759999999997</v>
      </c>
      <c r="L11" s="15">
        <v>4.8680960000000004</v>
      </c>
      <c r="M11" s="15">
        <v>4.8865280000000002</v>
      </c>
      <c r="N11" s="15">
        <v>4.8947200000000004</v>
      </c>
      <c r="O11" s="15">
        <v>4.8988160000000001</v>
      </c>
      <c r="P11" s="15">
        <v>4.8988160000000001</v>
      </c>
      <c r="Q11" s="15">
        <v>4.9223679999999996</v>
      </c>
      <c r="R11" s="15">
        <v>4.9326080000000001</v>
      </c>
      <c r="S11" s="15">
        <v>4.9336320000000002</v>
      </c>
      <c r="T11" s="17">
        <v>5.6954880000000001</v>
      </c>
      <c r="U11" s="17">
        <v>6.0098560000000001</v>
      </c>
      <c r="V11" s="17">
        <v>6.531072</v>
      </c>
      <c r="W11" s="19">
        <v>9.6348160000000007</v>
      </c>
      <c r="X11" s="17">
        <v>48.885759999999998</v>
      </c>
    </row>
    <row r="12" spans="2:24" x14ac:dyDescent="0.3">
      <c r="B12" s="13">
        <v>256</v>
      </c>
      <c r="C12" s="14" t="s">
        <v>5</v>
      </c>
      <c r="D12" s="12">
        <f t="shared" si="0"/>
        <v>23.630131200000001</v>
      </c>
      <c r="E12" s="17">
        <v>19.837952000000001</v>
      </c>
      <c r="F12" s="17">
        <v>20.022272000000001</v>
      </c>
      <c r="G12" s="17">
        <v>20.547584000000001</v>
      </c>
      <c r="H12" s="17">
        <v>20.936703999999999</v>
      </c>
      <c r="I12" s="17">
        <v>21.385216</v>
      </c>
      <c r="J12" s="15">
        <v>21.959679999999999</v>
      </c>
      <c r="K12" s="15">
        <v>21.998591999999999</v>
      </c>
      <c r="L12" s="15">
        <v>22.28736</v>
      </c>
      <c r="M12" s="15">
        <v>23.306239999999999</v>
      </c>
      <c r="N12" s="15">
        <v>23.383040000000001</v>
      </c>
      <c r="O12" s="15">
        <v>23.649280000000001</v>
      </c>
      <c r="P12" s="15">
        <v>24.133631999999999</v>
      </c>
      <c r="Q12" s="15">
        <v>24.767488</v>
      </c>
      <c r="R12" s="15">
        <v>25.231359999999999</v>
      </c>
      <c r="S12" s="15">
        <v>25.58464</v>
      </c>
      <c r="T12" s="17">
        <v>26.156032</v>
      </c>
      <c r="U12" s="17">
        <v>26.530816000000002</v>
      </c>
      <c r="V12" s="17">
        <v>32.263168</v>
      </c>
      <c r="W12" s="19">
        <v>32.536575999999997</v>
      </c>
      <c r="X12" s="17">
        <v>129.32096000000001</v>
      </c>
    </row>
    <row r="13" spans="2:24" x14ac:dyDescent="0.3">
      <c r="B13" s="4">
        <v>3600</v>
      </c>
      <c r="C13" s="5" t="s">
        <v>3</v>
      </c>
      <c r="D13" s="3">
        <f t="shared" si="0"/>
        <v>18.751999999999999</v>
      </c>
      <c r="E13" s="21">
        <v>18.373632000000001</v>
      </c>
      <c r="F13" s="20">
        <v>18.40128</v>
      </c>
      <c r="G13" s="20">
        <v>18.444288</v>
      </c>
      <c r="H13" s="20">
        <v>18.458624</v>
      </c>
      <c r="I13" s="20">
        <v>18.461696</v>
      </c>
      <c r="J13" s="6">
        <v>18.527232000000001</v>
      </c>
      <c r="K13" s="6">
        <v>18.547712000000001</v>
      </c>
      <c r="L13" s="6">
        <v>18.585599999999999</v>
      </c>
      <c r="M13" s="6">
        <v>18.638847999999999</v>
      </c>
      <c r="N13" s="6">
        <v>18.663423999999999</v>
      </c>
      <c r="O13" s="6">
        <v>18.717696</v>
      </c>
      <c r="P13" s="6">
        <v>18.843648000000002</v>
      </c>
      <c r="Q13" s="7">
        <v>18.848768</v>
      </c>
      <c r="R13" s="6">
        <v>19.060735999999999</v>
      </c>
      <c r="S13" s="6">
        <v>19.086335999999999</v>
      </c>
      <c r="T13" s="20">
        <v>49.784832000000002</v>
      </c>
      <c r="U13" s="20">
        <v>69.007360000000006</v>
      </c>
      <c r="V13" s="20">
        <v>74.789888000000005</v>
      </c>
      <c r="W13" s="22">
        <v>103.711744</v>
      </c>
      <c r="X13" s="20">
        <v>113.687552</v>
      </c>
    </row>
    <row r="14" spans="2:24" x14ac:dyDescent="0.3">
      <c r="B14" s="4">
        <v>3600</v>
      </c>
      <c r="C14" s="5" t="s">
        <v>4</v>
      </c>
      <c r="D14" s="3">
        <f t="shared" si="0"/>
        <v>80.826060800000008</v>
      </c>
      <c r="E14" s="20">
        <v>71.732240000000004</v>
      </c>
      <c r="F14" s="20">
        <v>73.314304000000007</v>
      </c>
      <c r="G14" s="20">
        <v>76.381184000000005</v>
      </c>
      <c r="H14" s="20">
        <v>77.133824000000004</v>
      </c>
      <c r="I14" s="20">
        <v>77.780991999999998</v>
      </c>
      <c r="J14" s="6">
        <v>78.526464000000004</v>
      </c>
      <c r="K14" s="6">
        <v>78.954496000000006</v>
      </c>
      <c r="L14" s="6">
        <v>79.840255999999997</v>
      </c>
      <c r="M14" s="6">
        <v>79.888384000000002</v>
      </c>
      <c r="N14" s="6">
        <v>79.913983999999999</v>
      </c>
      <c r="O14" s="6">
        <v>80.102400000000003</v>
      </c>
      <c r="P14" s="6">
        <v>80.431104000000005</v>
      </c>
      <c r="Q14" s="6">
        <v>82.441215999999997</v>
      </c>
      <c r="R14" s="6">
        <v>83.375103999999993</v>
      </c>
      <c r="S14" s="6">
        <v>84.787199999999999</v>
      </c>
      <c r="T14" s="20">
        <v>85.803008000000005</v>
      </c>
      <c r="U14" s="20">
        <v>94.454784000000004</v>
      </c>
      <c r="V14" s="20">
        <v>94.681088000000003</v>
      </c>
      <c r="W14" s="22">
        <v>97.049599999999998</v>
      </c>
      <c r="X14" s="20">
        <v>98.018304000000001</v>
      </c>
    </row>
    <row r="15" spans="2:24" ht="15" thickBot="1" x14ac:dyDescent="0.35">
      <c r="B15" s="8">
        <v>3600</v>
      </c>
      <c r="C15" s="9" t="s">
        <v>5</v>
      </c>
      <c r="D15" s="3">
        <f t="shared" si="0"/>
        <v>442.3408488</v>
      </c>
      <c r="E15" s="20">
        <v>407.928832</v>
      </c>
      <c r="F15" s="20">
        <v>419.37407999999999</v>
      </c>
      <c r="G15" s="20">
        <v>425.55801600000001</v>
      </c>
      <c r="H15" s="20">
        <v>428.241536</v>
      </c>
      <c r="I15" s="20">
        <v>428.76620800000001</v>
      </c>
      <c r="J15" s="6">
        <v>432.41574400000002</v>
      </c>
      <c r="K15" s="6">
        <v>433.64864</v>
      </c>
      <c r="L15" s="6">
        <v>434.44224000000003</v>
      </c>
      <c r="M15" s="6">
        <v>435.68848800000001</v>
      </c>
      <c r="N15" s="6">
        <v>435.82873599999999</v>
      </c>
      <c r="O15" s="6">
        <v>440.302592</v>
      </c>
      <c r="P15" s="6">
        <v>444.29107199999999</v>
      </c>
      <c r="Q15" s="6">
        <v>444.98719999999997</v>
      </c>
      <c r="R15" s="6">
        <v>454.55052799999999</v>
      </c>
      <c r="S15" s="6">
        <v>467.25324799999999</v>
      </c>
      <c r="T15" s="20">
        <v>474.02598399999999</v>
      </c>
      <c r="U15" s="20">
        <v>475.32339200000001</v>
      </c>
      <c r="V15" s="20">
        <v>483.28294399999999</v>
      </c>
      <c r="W15" s="22">
        <v>510.918656</v>
      </c>
      <c r="X15" s="20">
        <v>520.97126400000002</v>
      </c>
    </row>
  </sheetData>
  <sortState xmlns:xlrd2="http://schemas.microsoft.com/office/spreadsheetml/2017/richdata2" columnSort="1" ref="E4:X4">
    <sortCondition ref="E4:X4"/>
  </sortState>
  <pageMargins left="0.7" right="0.7" top="0.75" bottom="0.75" header="0.3" footer="0.3"/>
  <ignoredErrors>
    <ignoredError sqref="D4:D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F5657-2CC8-4733-93E5-D78F4F60A8BC}">
  <dimension ref="B2:X15"/>
  <sheetViews>
    <sheetView tabSelected="1" workbookViewId="0">
      <selection activeCell="J17" sqref="J17"/>
    </sheetView>
  </sheetViews>
  <sheetFormatPr defaultRowHeight="14.4" x14ac:dyDescent="0.3"/>
  <cols>
    <col min="2" max="2" width="14.21875" bestFit="1" customWidth="1"/>
    <col min="3" max="4" width="10" bestFit="1" customWidth="1"/>
    <col min="5" max="6" width="11.109375" bestFit="1" customWidth="1"/>
    <col min="7" max="7" width="10.109375" bestFit="1" customWidth="1"/>
    <col min="8" max="8" width="11.109375" bestFit="1" customWidth="1"/>
    <col min="9" max="14" width="11" bestFit="1" customWidth="1"/>
    <col min="15" max="15" width="10" bestFit="1" customWidth="1"/>
    <col min="16" max="19" width="11" bestFit="1" customWidth="1"/>
    <col min="20" max="20" width="10.109375" bestFit="1" customWidth="1"/>
    <col min="21" max="22" width="11.109375" bestFit="1" customWidth="1"/>
    <col min="23" max="23" width="11" bestFit="1" customWidth="1"/>
    <col min="24" max="24" width="11.109375" bestFit="1" customWidth="1"/>
  </cols>
  <sheetData>
    <row r="2" spans="2:24" ht="15" thickBot="1" x14ac:dyDescent="0.35">
      <c r="B2" t="s">
        <v>6</v>
      </c>
    </row>
    <row r="3" spans="2:24" ht="15" thickBot="1" x14ac:dyDescent="0.35">
      <c r="B3" s="1" t="s">
        <v>0</v>
      </c>
      <c r="C3" s="2" t="s">
        <v>1</v>
      </c>
      <c r="D3" s="2" t="s">
        <v>2</v>
      </c>
      <c r="E3" s="23">
        <v>1</v>
      </c>
      <c r="F3" s="23">
        <v>2</v>
      </c>
      <c r="G3" s="23">
        <v>3</v>
      </c>
      <c r="H3" s="23">
        <v>4</v>
      </c>
      <c r="I3" s="23">
        <v>5</v>
      </c>
      <c r="J3" s="2">
        <v>6</v>
      </c>
      <c r="K3" s="2">
        <v>7</v>
      </c>
      <c r="L3" s="2">
        <v>8</v>
      </c>
      <c r="M3" s="2">
        <v>9</v>
      </c>
      <c r="N3" s="2">
        <v>10</v>
      </c>
      <c r="O3" s="2">
        <v>11</v>
      </c>
      <c r="P3" s="2">
        <v>12</v>
      </c>
      <c r="Q3" s="2">
        <v>13</v>
      </c>
      <c r="R3" s="2">
        <v>14</v>
      </c>
      <c r="S3" s="2">
        <v>15</v>
      </c>
      <c r="T3" s="23">
        <v>16</v>
      </c>
      <c r="U3" s="23">
        <v>17</v>
      </c>
      <c r="V3" s="23">
        <v>18</v>
      </c>
      <c r="W3" s="23">
        <v>19</v>
      </c>
      <c r="X3" s="23">
        <v>20</v>
      </c>
    </row>
    <row r="4" spans="2:24" x14ac:dyDescent="0.3">
      <c r="B4" s="10">
        <v>16</v>
      </c>
      <c r="C4" s="11" t="s">
        <v>3</v>
      </c>
      <c r="D4" s="12">
        <f>AVERAGE(J4:S4)</f>
        <v>8.3660800000000007E-2</v>
      </c>
      <c r="E4" s="16">
        <v>8.1920000000000007E-2</v>
      </c>
      <c r="F4" s="16">
        <v>8.1920000000000007E-2</v>
      </c>
      <c r="G4" s="16">
        <v>8.1920000000000007E-2</v>
      </c>
      <c r="H4" s="16">
        <v>8.1920000000000007E-2</v>
      </c>
      <c r="I4" s="16">
        <v>8.2944000000000004E-2</v>
      </c>
      <c r="J4" s="12">
        <v>8.2944000000000004E-2</v>
      </c>
      <c r="K4" s="12">
        <v>8.2944000000000004E-2</v>
      </c>
      <c r="L4" s="12">
        <v>8.2944000000000004E-2</v>
      </c>
      <c r="M4" s="12">
        <v>8.3968000000000001E-2</v>
      </c>
      <c r="N4" s="12">
        <v>8.3968000000000001E-2</v>
      </c>
      <c r="O4" s="12">
        <v>8.3968000000000001E-2</v>
      </c>
      <c r="P4" s="12">
        <v>8.3968000000000001E-2</v>
      </c>
      <c r="Q4" s="12">
        <v>8.3968000000000001E-2</v>
      </c>
      <c r="R4" s="12">
        <v>8.3968000000000001E-2</v>
      </c>
      <c r="S4" s="12">
        <v>8.3968000000000001E-2</v>
      </c>
      <c r="T4" s="16">
        <v>8.4991999999999998E-2</v>
      </c>
      <c r="U4" s="16">
        <v>8.4991999999999998E-2</v>
      </c>
      <c r="V4" s="16">
        <v>0.41369600000000001</v>
      </c>
      <c r="W4" s="16">
        <v>0.54681599999999997</v>
      </c>
      <c r="X4" s="16">
        <v>0.82943999999999996</v>
      </c>
    </row>
    <row r="5" spans="2:24" x14ac:dyDescent="0.3">
      <c r="B5" s="13">
        <v>16</v>
      </c>
      <c r="C5" s="14" t="s">
        <v>4</v>
      </c>
      <c r="D5" s="12">
        <f t="shared" ref="D5:D15" si="0">AVERAGE(J5:S5)</f>
        <v>0.31262719999999994</v>
      </c>
      <c r="E5" s="17">
        <v>0.17305599999999999</v>
      </c>
      <c r="F5" s="17">
        <v>0.31129600000000002</v>
      </c>
      <c r="G5" s="17">
        <v>0.31129600000000002</v>
      </c>
      <c r="H5" s="17">
        <v>0.31129600000000002</v>
      </c>
      <c r="I5" s="17">
        <v>0.31231999999999999</v>
      </c>
      <c r="J5" s="15">
        <v>0.31231999999999999</v>
      </c>
      <c r="K5" s="15">
        <v>0.31231999999999999</v>
      </c>
      <c r="L5" s="15">
        <v>0.31231999999999999</v>
      </c>
      <c r="M5" s="15">
        <v>0.31231999999999999</v>
      </c>
      <c r="N5" s="15">
        <v>0.31231999999999999</v>
      </c>
      <c r="O5" s="15">
        <v>0.31231999999999999</v>
      </c>
      <c r="P5" s="15">
        <v>0.31231999999999999</v>
      </c>
      <c r="Q5" s="15">
        <v>0.31334400000000001</v>
      </c>
      <c r="R5" s="15">
        <v>0.31334400000000001</v>
      </c>
      <c r="S5" s="15">
        <v>0.31334400000000001</v>
      </c>
      <c r="T5" s="17">
        <v>0.31436799999999998</v>
      </c>
      <c r="U5" s="17">
        <v>1.283072</v>
      </c>
      <c r="V5" s="17">
        <v>1.3742080000000001</v>
      </c>
      <c r="W5" s="17">
        <v>2.154496</v>
      </c>
      <c r="X5" s="17">
        <v>2.2804479999999998</v>
      </c>
    </row>
    <row r="6" spans="2:24" x14ac:dyDescent="0.3">
      <c r="B6" s="13">
        <v>16</v>
      </c>
      <c r="C6" s="14" t="s">
        <v>5</v>
      </c>
      <c r="D6" s="12">
        <f t="shared" si="0"/>
        <v>1.0431488000000002</v>
      </c>
      <c r="E6" s="17">
        <v>0.85094400000000003</v>
      </c>
      <c r="F6" s="17">
        <v>0.85196799999999995</v>
      </c>
      <c r="G6" s="17">
        <v>0.86630399999999996</v>
      </c>
      <c r="H6" s="17">
        <v>0.881664</v>
      </c>
      <c r="I6" s="17">
        <v>0.881664</v>
      </c>
      <c r="J6" s="15">
        <v>0.91852800000000001</v>
      </c>
      <c r="K6" s="15">
        <v>0.94515199999999999</v>
      </c>
      <c r="L6" s="15">
        <v>1.0024960000000001</v>
      </c>
      <c r="M6" s="15">
        <v>1.0301439999999999</v>
      </c>
      <c r="N6" s="15">
        <v>1.0864640000000001</v>
      </c>
      <c r="O6" s="15">
        <v>1.0885119999999999</v>
      </c>
      <c r="P6" s="15">
        <v>1.0885119999999999</v>
      </c>
      <c r="Q6" s="15">
        <v>1.0895360000000001</v>
      </c>
      <c r="R6" s="15">
        <v>1.09056</v>
      </c>
      <c r="S6" s="15">
        <v>1.0915840000000001</v>
      </c>
      <c r="T6" s="17">
        <v>1.0915840000000001</v>
      </c>
      <c r="U6" s="17">
        <v>1.0915840000000001</v>
      </c>
      <c r="V6" s="17">
        <v>1.0915840000000001</v>
      </c>
      <c r="W6" s="17">
        <v>1.0936319999999999</v>
      </c>
      <c r="X6" s="17">
        <v>5.1711999999999998</v>
      </c>
    </row>
    <row r="7" spans="2:24" x14ac:dyDescent="0.3">
      <c r="B7" s="4">
        <v>64</v>
      </c>
      <c r="C7" s="5" t="s">
        <v>3</v>
      </c>
      <c r="D7" s="3">
        <f t="shared" si="0"/>
        <v>0.25077760000000004</v>
      </c>
      <c r="E7" s="20">
        <v>5.9392E-2</v>
      </c>
      <c r="F7" s="20">
        <v>0.246784</v>
      </c>
      <c r="G7" s="20">
        <v>0.247808</v>
      </c>
      <c r="H7" s="20">
        <v>0.247808</v>
      </c>
      <c r="I7" s="20">
        <v>0.248832</v>
      </c>
      <c r="J7" s="6">
        <v>0.24985599999999999</v>
      </c>
      <c r="K7" s="6">
        <v>0.24985599999999999</v>
      </c>
      <c r="L7" s="6">
        <v>0.24985599999999999</v>
      </c>
      <c r="M7" s="6">
        <v>0.25087999999999999</v>
      </c>
      <c r="N7" s="6">
        <v>0.25087999999999999</v>
      </c>
      <c r="O7" s="6">
        <v>0.25087999999999999</v>
      </c>
      <c r="P7" s="6">
        <v>0.25087999999999999</v>
      </c>
      <c r="Q7" s="6">
        <v>0.25087999999999999</v>
      </c>
      <c r="R7" s="6">
        <v>0.25190400000000002</v>
      </c>
      <c r="S7" s="6">
        <v>0.25190400000000002</v>
      </c>
      <c r="T7" s="20">
        <v>0.25292799999999999</v>
      </c>
      <c r="U7" s="20">
        <v>0.25497599999999998</v>
      </c>
      <c r="V7" s="20">
        <v>1.5749120000000001</v>
      </c>
      <c r="W7" s="20">
        <v>1.5984640000000001</v>
      </c>
      <c r="X7" s="20">
        <v>1.871872</v>
      </c>
    </row>
    <row r="8" spans="2:24" x14ac:dyDescent="0.3">
      <c r="B8" s="4">
        <v>64</v>
      </c>
      <c r="C8" s="5" t="s">
        <v>4</v>
      </c>
      <c r="D8" s="3">
        <f t="shared" si="0"/>
        <v>0.91135999999999995</v>
      </c>
      <c r="E8" s="20">
        <v>0.90521600000000002</v>
      </c>
      <c r="F8" s="20">
        <v>0.90828799999999998</v>
      </c>
      <c r="G8" s="20">
        <v>0.90931200000000001</v>
      </c>
      <c r="H8" s="20">
        <v>0.90931200000000001</v>
      </c>
      <c r="I8" s="20">
        <v>0.91033600000000003</v>
      </c>
      <c r="J8" s="6">
        <v>0.91033600000000003</v>
      </c>
      <c r="K8" s="6">
        <v>0.91033600000000003</v>
      </c>
      <c r="L8" s="6">
        <v>0.91033600000000003</v>
      </c>
      <c r="M8" s="6">
        <v>0.91135999999999995</v>
      </c>
      <c r="N8" s="6">
        <v>0.91135999999999995</v>
      </c>
      <c r="O8" s="6">
        <v>0.91135999999999995</v>
      </c>
      <c r="P8" s="6">
        <v>0.91135999999999995</v>
      </c>
      <c r="Q8" s="6">
        <v>0.91238399999999997</v>
      </c>
      <c r="R8" s="6">
        <v>0.91238399999999997</v>
      </c>
      <c r="S8" s="6">
        <v>0.91238399999999997</v>
      </c>
      <c r="T8" s="20">
        <v>0.91238399999999997</v>
      </c>
      <c r="U8" s="20">
        <v>0.91335999999999995</v>
      </c>
      <c r="V8" s="20">
        <v>0.913408</v>
      </c>
      <c r="W8" s="20">
        <v>0.91443200000000002</v>
      </c>
      <c r="X8" s="20">
        <v>5.641216</v>
      </c>
    </row>
    <row r="9" spans="2:24" x14ac:dyDescent="0.3">
      <c r="B9" s="4">
        <v>64</v>
      </c>
      <c r="C9" s="5" t="s">
        <v>5</v>
      </c>
      <c r="D9" s="3">
        <f t="shared" si="0"/>
        <v>3.3596415999999998</v>
      </c>
      <c r="E9" s="20">
        <v>2.7863039999999999</v>
      </c>
      <c r="F9" s="20">
        <v>2.7975680000000001</v>
      </c>
      <c r="G9" s="20">
        <v>2.8088320000000002</v>
      </c>
      <c r="H9" s="20">
        <v>2.9163519999999998</v>
      </c>
      <c r="I9" s="20">
        <v>2.9992960000000002</v>
      </c>
      <c r="J9" s="6">
        <v>3.1477759999999999</v>
      </c>
      <c r="K9" s="6">
        <v>3.2102400000000002</v>
      </c>
      <c r="L9" s="6">
        <v>3.2102400000000002</v>
      </c>
      <c r="M9" s="6">
        <v>3.2430080000000001</v>
      </c>
      <c r="N9" s="6">
        <v>3.3873920000000002</v>
      </c>
      <c r="O9" s="6">
        <v>3.4170880000000001</v>
      </c>
      <c r="P9" s="6">
        <v>3.456</v>
      </c>
      <c r="Q9" s="6">
        <v>3.456</v>
      </c>
      <c r="R9" s="6">
        <v>3.4949119999999998</v>
      </c>
      <c r="S9" s="6">
        <v>3.57376</v>
      </c>
      <c r="T9" s="20">
        <v>3.576832</v>
      </c>
      <c r="U9" s="20">
        <v>3.576832</v>
      </c>
      <c r="V9" s="20">
        <v>3.5788799999999998</v>
      </c>
      <c r="W9" s="20">
        <v>3.579904</v>
      </c>
      <c r="X9" s="20">
        <v>20.851711999999999</v>
      </c>
    </row>
    <row r="10" spans="2:24" x14ac:dyDescent="0.3">
      <c r="B10" s="13">
        <v>256</v>
      </c>
      <c r="C10" s="14" t="s">
        <v>3</v>
      </c>
      <c r="D10" s="12">
        <f t="shared" si="0"/>
        <v>0.93603759999999991</v>
      </c>
      <c r="E10" s="17">
        <v>0.92467200000000005</v>
      </c>
      <c r="F10" s="17">
        <v>0.92569599999999996</v>
      </c>
      <c r="G10" s="17">
        <v>0.92569599999999996</v>
      </c>
      <c r="H10" s="17">
        <v>0.92671999999999999</v>
      </c>
      <c r="I10" s="17">
        <v>0.92774400000000001</v>
      </c>
      <c r="J10" s="15">
        <v>0.93286400000000003</v>
      </c>
      <c r="K10" s="15">
        <v>0.93286400000000003</v>
      </c>
      <c r="L10" s="15">
        <v>0.93388000000000004</v>
      </c>
      <c r="M10" s="15">
        <v>0.93491199999999997</v>
      </c>
      <c r="N10" s="15">
        <v>0.93491199999999997</v>
      </c>
      <c r="O10" s="15">
        <v>0.93696000000000002</v>
      </c>
      <c r="P10" s="15">
        <v>0.93798400000000004</v>
      </c>
      <c r="Q10" s="15">
        <v>0.93798400000000004</v>
      </c>
      <c r="R10" s="15">
        <v>0.93900799999999995</v>
      </c>
      <c r="S10" s="15">
        <v>0.93900799999999995</v>
      </c>
      <c r="T10" s="17">
        <v>0.94003199999999998</v>
      </c>
      <c r="U10" s="17">
        <v>0.94412799999999997</v>
      </c>
      <c r="V10" s="17">
        <v>0.94515199999999999</v>
      </c>
      <c r="W10" s="17">
        <v>0.94515199999999999</v>
      </c>
      <c r="X10" s="17">
        <v>0.95948800000000001</v>
      </c>
    </row>
    <row r="11" spans="2:24" x14ac:dyDescent="0.3">
      <c r="B11" s="13">
        <v>256</v>
      </c>
      <c r="C11" s="14" t="s">
        <v>4</v>
      </c>
      <c r="D11" s="12">
        <f t="shared" si="0"/>
        <v>3.3211391999999997</v>
      </c>
      <c r="E11" s="17">
        <v>3.3003520000000002</v>
      </c>
      <c r="F11" s="17">
        <v>3.3064960000000001</v>
      </c>
      <c r="G11" s="17">
        <v>3.3075199999999998</v>
      </c>
      <c r="H11" s="17">
        <v>3.31264</v>
      </c>
      <c r="I11" s="17">
        <v>3.3136640000000002</v>
      </c>
      <c r="J11" s="15">
        <v>3.3146879999999999</v>
      </c>
      <c r="K11" s="15">
        <v>3.3146879999999999</v>
      </c>
      <c r="L11" s="15">
        <v>3.3167360000000001</v>
      </c>
      <c r="M11" s="15">
        <v>3.3177599999999998</v>
      </c>
      <c r="N11" s="15">
        <v>3.3208319999999998</v>
      </c>
      <c r="O11" s="15">
        <v>3.3228800000000001</v>
      </c>
      <c r="P11" s="15">
        <v>3.3239040000000002</v>
      </c>
      <c r="Q11" s="15">
        <v>3.3249279999999999</v>
      </c>
      <c r="R11" s="15">
        <v>3.325952</v>
      </c>
      <c r="S11" s="15">
        <v>3.329024</v>
      </c>
      <c r="T11" s="17">
        <v>3.3341440000000002</v>
      </c>
      <c r="U11" s="17">
        <v>3.339264</v>
      </c>
      <c r="V11" s="17">
        <v>3.3443839999999998</v>
      </c>
      <c r="W11" s="17">
        <v>3.35168</v>
      </c>
      <c r="X11" s="17">
        <v>4.0048640000000004</v>
      </c>
    </row>
    <row r="12" spans="2:24" x14ac:dyDescent="0.3">
      <c r="B12" s="13">
        <v>256</v>
      </c>
      <c r="C12" s="14" t="s">
        <v>5</v>
      </c>
      <c r="D12" s="12">
        <f t="shared" si="0"/>
        <v>11.262463999999998</v>
      </c>
      <c r="E12" s="17">
        <v>9.9379200000000001</v>
      </c>
      <c r="F12" s="17">
        <v>10.003456</v>
      </c>
      <c r="G12" s="17">
        <v>10.011647999999999</v>
      </c>
      <c r="H12" s="17">
        <v>10.013695999999999</v>
      </c>
      <c r="I12" s="17">
        <v>10.041344</v>
      </c>
      <c r="J12" s="15">
        <v>10.450944</v>
      </c>
      <c r="K12" s="15">
        <v>10.51136</v>
      </c>
      <c r="L12" s="15">
        <v>11.039744000000001</v>
      </c>
      <c r="M12" s="15">
        <v>11.052032000000001</v>
      </c>
      <c r="N12" s="15">
        <v>11.127808</v>
      </c>
      <c r="O12" s="15">
        <v>11.219968</v>
      </c>
      <c r="P12" s="15">
        <v>11.34592</v>
      </c>
      <c r="Q12" s="15">
        <v>11.820031999999999</v>
      </c>
      <c r="R12" s="15">
        <v>11.972607999999999</v>
      </c>
      <c r="S12" s="15">
        <v>12.084224000000001</v>
      </c>
      <c r="T12" s="17">
        <v>12.499968000000001</v>
      </c>
      <c r="U12" s="17">
        <v>13.574144</v>
      </c>
      <c r="V12" s="17">
        <v>13.616128</v>
      </c>
      <c r="W12" s="17">
        <v>14.07488</v>
      </c>
      <c r="X12" s="17">
        <v>14.717952</v>
      </c>
    </row>
    <row r="13" spans="2:24" x14ac:dyDescent="0.3">
      <c r="B13" s="4">
        <v>3600</v>
      </c>
      <c r="C13" s="5" t="s">
        <v>3</v>
      </c>
      <c r="D13" s="3">
        <f t="shared" si="0"/>
        <v>11.729510400000001</v>
      </c>
      <c r="E13" s="20">
        <v>11.568128</v>
      </c>
      <c r="F13" s="20">
        <v>11.577344</v>
      </c>
      <c r="G13" s="20">
        <v>11.612159999999999</v>
      </c>
      <c r="H13" s="20">
        <v>11.635712</v>
      </c>
      <c r="I13" s="20">
        <v>11.646976</v>
      </c>
      <c r="J13" s="6">
        <v>11.651071999999999</v>
      </c>
      <c r="K13" s="6">
        <v>11.707392</v>
      </c>
      <c r="L13" s="6">
        <v>11.710464</v>
      </c>
      <c r="M13" s="6">
        <v>11.720704</v>
      </c>
      <c r="N13" s="6">
        <v>11.7248</v>
      </c>
      <c r="O13" s="6">
        <v>11.726848</v>
      </c>
      <c r="P13" s="6">
        <v>11.730943999999999</v>
      </c>
      <c r="Q13" s="6">
        <v>11.757567999999999</v>
      </c>
      <c r="R13" s="6">
        <v>11.768832</v>
      </c>
      <c r="S13" s="6">
        <v>11.796480000000001</v>
      </c>
      <c r="T13" s="20">
        <v>11.810816000000001</v>
      </c>
      <c r="U13" s="20">
        <v>11.817983999999999</v>
      </c>
      <c r="V13" s="20">
        <v>11.867136</v>
      </c>
      <c r="W13" s="20">
        <v>48.453631999999999</v>
      </c>
      <c r="X13" s="20">
        <v>71.233536000000001</v>
      </c>
    </row>
    <row r="14" spans="2:24" x14ac:dyDescent="0.3">
      <c r="B14" s="4">
        <v>3600</v>
      </c>
      <c r="C14" s="5" t="s">
        <v>4</v>
      </c>
      <c r="D14" s="3">
        <f t="shared" si="0"/>
        <v>39.007024799999996</v>
      </c>
      <c r="E14" s="20">
        <v>35.117055999999998</v>
      </c>
      <c r="F14" s="20">
        <v>35.127296000000001</v>
      </c>
      <c r="G14" s="20">
        <v>36.303871999999998</v>
      </c>
      <c r="H14" s="20">
        <v>36.74624</v>
      </c>
      <c r="I14" s="20">
        <v>37.103616000000002</v>
      </c>
      <c r="J14" s="6">
        <v>37.234687999999998</v>
      </c>
      <c r="K14" s="6">
        <v>37.344256000000001</v>
      </c>
      <c r="L14" s="6">
        <v>37.609471999999997</v>
      </c>
      <c r="M14" s="6">
        <v>37.841920000000002</v>
      </c>
      <c r="N14" s="6">
        <v>37.932008000000003</v>
      </c>
      <c r="O14" s="6">
        <v>38.782975999999998</v>
      </c>
      <c r="P14" s="6">
        <v>39.345151999999999</v>
      </c>
      <c r="Q14" s="6">
        <v>39.512064000000002</v>
      </c>
      <c r="R14" s="6">
        <v>41.593856000000002</v>
      </c>
      <c r="S14" s="6">
        <v>42.873856000000004</v>
      </c>
      <c r="T14" s="20">
        <v>43.267071999999999</v>
      </c>
      <c r="U14" s="20">
        <v>44.515327999999997</v>
      </c>
      <c r="V14" s="20">
        <v>46.938111999999997</v>
      </c>
      <c r="W14" s="20">
        <v>118.069248</v>
      </c>
      <c r="X14" s="20">
        <v>135.24070399999999</v>
      </c>
    </row>
    <row r="15" spans="2:24" ht="15" thickBot="1" x14ac:dyDescent="0.35">
      <c r="B15" s="8">
        <v>3600</v>
      </c>
      <c r="C15" s="9" t="s">
        <v>5</v>
      </c>
      <c r="D15" s="3">
        <f t="shared" si="0"/>
        <v>178.87744000000001</v>
      </c>
      <c r="E15" s="20">
        <v>168.29030399999999</v>
      </c>
      <c r="F15" s="20">
        <v>172.40883199999999</v>
      </c>
      <c r="G15" s="20">
        <v>172.81567999999999</v>
      </c>
      <c r="H15" s="20">
        <v>173.33964800000001</v>
      </c>
      <c r="I15" s="20">
        <v>173.551616</v>
      </c>
      <c r="J15" s="6">
        <v>175.009792</v>
      </c>
      <c r="K15" s="6">
        <v>176.003072</v>
      </c>
      <c r="L15" s="6">
        <v>176.857088</v>
      </c>
      <c r="M15" s="6">
        <v>177.26771199999999</v>
      </c>
      <c r="N15" s="6">
        <v>178.071552</v>
      </c>
      <c r="O15" s="6">
        <v>180.747264</v>
      </c>
      <c r="P15" s="6">
        <v>180.85273599999999</v>
      </c>
      <c r="Q15" s="6">
        <v>180.864</v>
      </c>
      <c r="R15" s="6">
        <v>181.44870399999999</v>
      </c>
      <c r="S15" s="6">
        <v>181.65248</v>
      </c>
      <c r="T15" s="20">
        <v>181.77536000000001</v>
      </c>
      <c r="U15" s="20">
        <v>203.40736000000001</v>
      </c>
      <c r="V15" s="20">
        <v>205.81990400000001</v>
      </c>
      <c r="W15" s="20">
        <v>208.18739199999999</v>
      </c>
      <c r="X15" s="20">
        <v>334.61555199999998</v>
      </c>
    </row>
  </sheetData>
  <sortState xmlns:xlrd2="http://schemas.microsoft.com/office/spreadsheetml/2017/richdata2" columnSort="1" ref="E3:X3">
    <sortCondition ref="E3:X3"/>
  </sortState>
  <pageMargins left="0.7" right="0.7" top="0.75" bottom="0.75" header="0.3" footer="0.3"/>
  <ignoredErrors>
    <ignoredError sqref="D4:D1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09C2-BC0C-46B9-8D3E-67E23CFAD3D5}">
  <dimension ref="B2:X15"/>
  <sheetViews>
    <sheetView workbookViewId="0">
      <selection activeCell="D15" sqref="D15"/>
    </sheetView>
  </sheetViews>
  <sheetFormatPr defaultRowHeight="14.4" x14ac:dyDescent="0.3"/>
  <cols>
    <col min="2" max="2" width="14.21875" bestFit="1" customWidth="1"/>
    <col min="3" max="3" width="10" bestFit="1" customWidth="1"/>
    <col min="4" max="4" width="12" bestFit="1" customWidth="1"/>
    <col min="5" max="11" width="11" bestFit="1" customWidth="1"/>
    <col min="12" max="12" width="12" bestFit="1" customWidth="1"/>
    <col min="13" max="19" width="11" bestFit="1" customWidth="1"/>
    <col min="20" max="20" width="10" bestFit="1" customWidth="1"/>
    <col min="21" max="24" width="11" bestFit="1" customWidth="1"/>
  </cols>
  <sheetData>
    <row r="2" spans="2:24" ht="15" thickBot="1" x14ac:dyDescent="0.35">
      <c r="B2" t="s">
        <v>6</v>
      </c>
    </row>
    <row r="3" spans="2:24" ht="15" thickBot="1" x14ac:dyDescent="0.35">
      <c r="B3" s="1" t="s">
        <v>0</v>
      </c>
      <c r="C3" s="2" t="s">
        <v>1</v>
      </c>
      <c r="D3" s="2" t="s">
        <v>2</v>
      </c>
      <c r="E3" s="23">
        <v>1</v>
      </c>
      <c r="F3" s="23">
        <v>2</v>
      </c>
      <c r="G3" s="23">
        <v>3</v>
      </c>
      <c r="H3" s="23">
        <v>4</v>
      </c>
      <c r="I3" s="23">
        <v>5</v>
      </c>
      <c r="J3" s="2">
        <v>6</v>
      </c>
      <c r="K3" s="2">
        <v>7</v>
      </c>
      <c r="L3" s="2">
        <v>8</v>
      </c>
      <c r="M3" s="2">
        <v>9</v>
      </c>
      <c r="N3" s="2">
        <v>10</v>
      </c>
      <c r="O3" s="2">
        <v>11</v>
      </c>
      <c r="P3" s="2">
        <v>12</v>
      </c>
      <c r="Q3" s="2">
        <v>13</v>
      </c>
      <c r="R3" s="2">
        <v>14</v>
      </c>
      <c r="S3" s="2">
        <v>15</v>
      </c>
      <c r="T3" s="23">
        <v>16</v>
      </c>
      <c r="U3" s="23">
        <v>17</v>
      </c>
      <c r="V3" s="23">
        <v>18</v>
      </c>
      <c r="W3" s="23">
        <v>19</v>
      </c>
      <c r="X3" s="23">
        <v>20</v>
      </c>
    </row>
    <row r="4" spans="2:24" x14ac:dyDescent="0.3">
      <c r="B4" s="10">
        <v>16</v>
      </c>
      <c r="C4" s="11" t="s">
        <v>3</v>
      </c>
      <c r="D4" s="12">
        <f>AVERAGE(J4:S4)</f>
        <v>5.1360000000000003E-2</v>
      </c>
      <c r="E4" s="16">
        <v>4.4032000000000002E-2</v>
      </c>
      <c r="F4" s="16">
        <v>4.8127999999999997E-2</v>
      </c>
      <c r="G4" s="16">
        <v>4.9152000000000001E-2</v>
      </c>
      <c r="H4" s="16">
        <v>4.9152000000000001E-2</v>
      </c>
      <c r="I4" s="16">
        <v>5.0175999999999998E-2</v>
      </c>
      <c r="J4" s="12">
        <v>5.0175999999999998E-2</v>
      </c>
      <c r="K4" s="12">
        <v>5.1200000000000002E-2</v>
      </c>
      <c r="L4" s="12">
        <v>5.1200000000000002E-2</v>
      </c>
      <c r="M4" s="12">
        <v>5.1200000000000002E-2</v>
      </c>
      <c r="N4" s="12">
        <v>5.1200000000000002E-2</v>
      </c>
      <c r="O4" s="12">
        <v>5.1200000000000002E-2</v>
      </c>
      <c r="P4" s="12">
        <v>5.1200000000000002E-2</v>
      </c>
      <c r="Q4" s="12">
        <v>5.176E-2</v>
      </c>
      <c r="R4" s="12">
        <v>5.2224E-2</v>
      </c>
      <c r="S4" s="12">
        <v>5.2240000000000002E-2</v>
      </c>
      <c r="T4" s="16">
        <v>5.2240000000000002E-2</v>
      </c>
      <c r="U4" s="16">
        <v>5.2240000000000002E-2</v>
      </c>
      <c r="V4" s="16">
        <v>5.3247999999999997E-2</v>
      </c>
      <c r="W4" s="16">
        <v>0.27340799999999998</v>
      </c>
      <c r="X4" s="16">
        <v>0.52224000000000004</v>
      </c>
    </row>
    <row r="5" spans="2:24" x14ac:dyDescent="0.3">
      <c r="B5" s="13">
        <v>16</v>
      </c>
      <c r="C5" s="14" t="s">
        <v>4</v>
      </c>
      <c r="D5" s="12">
        <f t="shared" ref="D5:D15" si="0">AVERAGE(J5:S5)</f>
        <v>0.19968000000000002</v>
      </c>
      <c r="E5" s="17">
        <v>0.17203199999999999</v>
      </c>
      <c r="F5" s="17">
        <v>0.198656</v>
      </c>
      <c r="G5" s="17">
        <v>0.198656</v>
      </c>
      <c r="H5" s="17">
        <v>0.19968</v>
      </c>
      <c r="I5" s="17">
        <v>0.19968</v>
      </c>
      <c r="J5" s="15">
        <v>0.19968</v>
      </c>
      <c r="K5" s="15">
        <v>0.19968</v>
      </c>
      <c r="L5" s="15">
        <v>0.19968</v>
      </c>
      <c r="M5" s="15">
        <v>0.19968</v>
      </c>
      <c r="N5" s="15">
        <v>0.19968</v>
      </c>
      <c r="O5" s="15">
        <v>0.19968</v>
      </c>
      <c r="P5" s="15">
        <v>0.19968</v>
      </c>
      <c r="Q5" s="15">
        <v>0.19968</v>
      </c>
      <c r="R5" s="15">
        <v>0.19968</v>
      </c>
      <c r="S5" s="15">
        <v>0.19968</v>
      </c>
      <c r="T5" s="17">
        <v>0.19968</v>
      </c>
      <c r="U5" s="17">
        <v>0.20070399999999999</v>
      </c>
      <c r="V5" s="17">
        <v>0.20070399999999999</v>
      </c>
      <c r="W5" s="17">
        <v>0.20172799999999999</v>
      </c>
      <c r="X5" s="17">
        <v>0.20275199999999999</v>
      </c>
    </row>
    <row r="6" spans="2:24" x14ac:dyDescent="0.3">
      <c r="B6" s="13">
        <v>16</v>
      </c>
      <c r="C6" s="14" t="s">
        <v>5</v>
      </c>
      <c r="D6" s="12">
        <f t="shared" si="0"/>
        <v>0.84520964999999992</v>
      </c>
      <c r="E6" s="17">
        <v>0.72806400000000004</v>
      </c>
      <c r="F6" s="17">
        <v>0.794624</v>
      </c>
      <c r="G6" s="17">
        <v>0.813056</v>
      </c>
      <c r="H6" s="17">
        <v>0.82534399999999997</v>
      </c>
      <c r="I6" s="17">
        <v>0.82534399999999997</v>
      </c>
      <c r="J6" s="15">
        <v>0.82636799999999999</v>
      </c>
      <c r="K6" s="15">
        <v>0.83353600000000005</v>
      </c>
      <c r="L6" s="15">
        <v>0.84377599999999997</v>
      </c>
      <c r="M6" s="15">
        <v>0.84377599999999997</v>
      </c>
      <c r="N6" s="15">
        <v>0.8448</v>
      </c>
      <c r="O6" s="15">
        <v>0.85094400000000003</v>
      </c>
      <c r="P6" s="15">
        <v>0.85094400000000003</v>
      </c>
      <c r="Q6" s="15">
        <v>0.85196799999999995</v>
      </c>
      <c r="R6" s="15">
        <v>0.85299199999999997</v>
      </c>
      <c r="S6" s="15">
        <v>0.85299250000000004</v>
      </c>
      <c r="T6" s="17">
        <v>0.854016</v>
      </c>
      <c r="U6" s="17">
        <v>0.85504000000000002</v>
      </c>
      <c r="V6" s="17">
        <v>0.85504000000000002</v>
      </c>
      <c r="W6" s="17">
        <v>0.86118399999999995</v>
      </c>
      <c r="X6" s="17">
        <v>2.6511360000000002</v>
      </c>
    </row>
    <row r="7" spans="2:24" x14ac:dyDescent="0.3">
      <c r="B7" s="4">
        <v>64</v>
      </c>
      <c r="C7" s="5" t="s">
        <v>3</v>
      </c>
      <c r="D7" s="3">
        <f t="shared" si="0"/>
        <v>0.19896320000000001</v>
      </c>
      <c r="E7" s="20">
        <v>0.19456000000000001</v>
      </c>
      <c r="F7" s="20">
        <v>0.196608</v>
      </c>
      <c r="G7" s="20">
        <v>0.197632</v>
      </c>
      <c r="H7" s="20">
        <v>0.198656</v>
      </c>
      <c r="I7" s="20">
        <v>0.198656</v>
      </c>
      <c r="J7" s="6">
        <v>0.198656</v>
      </c>
      <c r="K7" s="6">
        <v>0.198656</v>
      </c>
      <c r="L7" s="6">
        <v>0.198656</v>
      </c>
      <c r="M7" s="6">
        <v>0.198656</v>
      </c>
      <c r="N7" s="6">
        <v>0.198656</v>
      </c>
      <c r="O7" s="6">
        <v>0.198656</v>
      </c>
      <c r="P7" s="6">
        <v>0.198656</v>
      </c>
      <c r="Q7" s="6">
        <v>0.19968</v>
      </c>
      <c r="R7" s="6">
        <v>0.19968</v>
      </c>
      <c r="S7" s="6">
        <v>0.19968</v>
      </c>
      <c r="T7" s="20">
        <v>0.19968</v>
      </c>
      <c r="U7" s="20">
        <v>0.19968</v>
      </c>
      <c r="V7" s="20">
        <v>0.20070399999999999</v>
      </c>
      <c r="W7" s="20">
        <v>0.20070399999999999</v>
      </c>
      <c r="X7" s="20">
        <v>0.58879999999999999</v>
      </c>
    </row>
    <row r="8" spans="2:24" x14ac:dyDescent="0.3">
      <c r="B8" s="4">
        <v>64</v>
      </c>
      <c r="C8" s="5" t="s">
        <v>4</v>
      </c>
      <c r="D8" s="3">
        <f t="shared" si="0"/>
        <v>0.76892159999999998</v>
      </c>
      <c r="E8" s="20">
        <v>0.76800000000000002</v>
      </c>
      <c r="F8" s="20">
        <v>0.76800000000000002</v>
      </c>
      <c r="G8" s="20">
        <v>0.76800000000000002</v>
      </c>
      <c r="H8" s="20">
        <v>0.76800000000000002</v>
      </c>
      <c r="I8" s="20">
        <v>0.76800000000000002</v>
      </c>
      <c r="J8" s="6">
        <v>0.76800000000000002</v>
      </c>
      <c r="K8" s="6">
        <v>0.76902400000000004</v>
      </c>
      <c r="L8" s="6">
        <v>0.76902400000000004</v>
      </c>
      <c r="M8" s="6">
        <v>0.76902400000000004</v>
      </c>
      <c r="N8" s="6">
        <v>0.76902400000000004</v>
      </c>
      <c r="O8" s="6">
        <v>0.76902400000000004</v>
      </c>
      <c r="P8" s="6">
        <v>0.76902400000000004</v>
      </c>
      <c r="Q8" s="6">
        <v>0.76902400000000004</v>
      </c>
      <c r="R8" s="6">
        <v>0.76902400000000004</v>
      </c>
      <c r="S8" s="6">
        <v>0.76902400000000004</v>
      </c>
      <c r="T8" s="20">
        <v>0.76902400000000004</v>
      </c>
      <c r="U8" s="20">
        <v>0.77004799999999995</v>
      </c>
      <c r="V8" s="20">
        <v>0.77004799999999995</v>
      </c>
      <c r="W8" s="20">
        <v>0.77004799999999995</v>
      </c>
      <c r="X8" s="20">
        <v>0.77107199999999998</v>
      </c>
    </row>
    <row r="9" spans="2:24" x14ac:dyDescent="0.3">
      <c r="B9" s="4">
        <v>64</v>
      </c>
      <c r="C9" s="5" t="s">
        <v>5</v>
      </c>
      <c r="D9" s="3">
        <f t="shared" si="0"/>
        <v>3.1763295999999999</v>
      </c>
      <c r="E9" s="20">
        <v>2.6449919999999998</v>
      </c>
      <c r="F9" s="20">
        <v>2.650112</v>
      </c>
      <c r="G9" s="20">
        <v>2.663424</v>
      </c>
      <c r="H9" s="20">
        <v>2.763776</v>
      </c>
      <c r="I9" s="20">
        <v>2.9050880000000001</v>
      </c>
      <c r="J9" s="6">
        <v>3.0504959999999999</v>
      </c>
      <c r="K9" s="6">
        <v>3.0924800000000001</v>
      </c>
      <c r="L9" s="6">
        <v>3.202048</v>
      </c>
      <c r="M9" s="6">
        <v>3.202048</v>
      </c>
      <c r="N9" s="6">
        <v>3.202048</v>
      </c>
      <c r="O9" s="6">
        <v>3.20248</v>
      </c>
      <c r="P9" s="6">
        <v>3.20248</v>
      </c>
      <c r="Q9" s="6">
        <v>3.2030720000000001</v>
      </c>
      <c r="R9" s="6">
        <v>3.2030720000000001</v>
      </c>
      <c r="S9" s="6">
        <v>3.2030720000000001</v>
      </c>
      <c r="T9" s="20">
        <v>3.2040959999999998</v>
      </c>
      <c r="U9" s="20">
        <v>3.2040959999999998</v>
      </c>
      <c r="V9" s="20">
        <v>3.2071679999999998</v>
      </c>
      <c r="W9" s="20">
        <v>3.2112639999999999</v>
      </c>
      <c r="X9" s="20">
        <v>3.21536</v>
      </c>
    </row>
    <row r="10" spans="2:24" x14ac:dyDescent="0.3">
      <c r="B10" s="13">
        <v>256</v>
      </c>
      <c r="C10" s="14" t="s">
        <v>3</v>
      </c>
      <c r="D10" s="12">
        <f t="shared" si="0"/>
        <v>0.79708160000000006</v>
      </c>
      <c r="E10" s="17">
        <v>0.64512000000000003</v>
      </c>
      <c r="F10" s="17">
        <v>0.78745600000000004</v>
      </c>
      <c r="G10" s="17">
        <v>0.79052800000000001</v>
      </c>
      <c r="H10" s="17">
        <v>0.79155200000000003</v>
      </c>
      <c r="I10" s="17">
        <v>0.79359999999999997</v>
      </c>
      <c r="J10" s="15">
        <v>0.79564800000000002</v>
      </c>
      <c r="K10" s="15">
        <v>0.79667200000000005</v>
      </c>
      <c r="L10" s="15">
        <v>0.79667200000000005</v>
      </c>
      <c r="M10" s="15">
        <v>0.79667200000000005</v>
      </c>
      <c r="N10" s="15">
        <v>0.79667200000000005</v>
      </c>
      <c r="O10" s="15">
        <v>0.79769599999999996</v>
      </c>
      <c r="P10" s="15">
        <v>0.79769599999999996</v>
      </c>
      <c r="Q10" s="15">
        <v>0.79769599999999996</v>
      </c>
      <c r="R10" s="15">
        <v>0.79769599999999996</v>
      </c>
      <c r="S10" s="15">
        <v>0.79769599999999996</v>
      </c>
      <c r="T10" s="17">
        <v>0.79769599999999996</v>
      </c>
      <c r="U10" s="17">
        <v>0.79769599999999996</v>
      </c>
      <c r="V10" s="17">
        <v>0.80076800000000004</v>
      </c>
      <c r="W10" s="17">
        <v>0.80486400000000002</v>
      </c>
      <c r="X10" s="17">
        <v>4.2649600000000003</v>
      </c>
    </row>
    <row r="11" spans="2:24" x14ac:dyDescent="0.3">
      <c r="B11" s="13">
        <v>256</v>
      </c>
      <c r="C11" s="14" t="s">
        <v>4</v>
      </c>
      <c r="D11" s="12">
        <f t="shared" si="0"/>
        <v>3.0722047999999997</v>
      </c>
      <c r="E11" s="17">
        <v>3.064832</v>
      </c>
      <c r="F11" s="17">
        <v>3.0668799999999998</v>
      </c>
      <c r="G11" s="17">
        <v>3.067904</v>
      </c>
      <c r="H11" s="17">
        <v>3.067904</v>
      </c>
      <c r="I11" s="17">
        <v>3.067904</v>
      </c>
      <c r="J11" s="15">
        <v>3.0699519999999998</v>
      </c>
      <c r="K11" s="15">
        <v>3.0709759999999999</v>
      </c>
      <c r="L11" s="15">
        <v>3.0709759999999999</v>
      </c>
      <c r="M11" s="15">
        <v>3.0709759999999999</v>
      </c>
      <c r="N11" s="15">
        <v>3.0709759999999999</v>
      </c>
      <c r="O11" s="15">
        <v>3.0720000000000001</v>
      </c>
      <c r="P11" s="15">
        <v>3.0720000000000001</v>
      </c>
      <c r="Q11" s="15">
        <v>3.0730240000000002</v>
      </c>
      <c r="R11" s="15">
        <v>3.075072</v>
      </c>
      <c r="S11" s="15">
        <v>3.0760960000000002</v>
      </c>
      <c r="T11" s="17">
        <v>3.0771199999999999</v>
      </c>
      <c r="U11" s="17">
        <v>3.078144</v>
      </c>
      <c r="V11" s="17">
        <v>3.0791680000000001</v>
      </c>
      <c r="W11" s="17">
        <v>3.081216</v>
      </c>
      <c r="X11" s="17">
        <v>30.832640000000001</v>
      </c>
    </row>
    <row r="12" spans="2:24" x14ac:dyDescent="0.3">
      <c r="B12" s="13">
        <v>256</v>
      </c>
      <c r="C12" s="14" t="s">
        <v>5</v>
      </c>
      <c r="D12" s="12">
        <f t="shared" si="0"/>
        <v>11.7888</v>
      </c>
      <c r="E12" s="17">
        <v>10.177536</v>
      </c>
      <c r="F12" s="17">
        <v>10.278912</v>
      </c>
      <c r="G12" s="17">
        <v>10.304512000000001</v>
      </c>
      <c r="H12" s="17">
        <v>10.311680000000001</v>
      </c>
      <c r="I12" s="17">
        <v>10.350592000000001</v>
      </c>
      <c r="J12" s="15">
        <v>10.395648</v>
      </c>
      <c r="K12" s="15">
        <v>10.425344000000001</v>
      </c>
      <c r="L12" s="15">
        <v>10.499072</v>
      </c>
      <c r="M12" s="15">
        <v>11.091968</v>
      </c>
      <c r="N12" s="15">
        <v>12.06784</v>
      </c>
      <c r="O12" s="15">
        <v>12.67712</v>
      </c>
      <c r="P12" s="15">
        <v>12.679168000000001</v>
      </c>
      <c r="Q12" s="15">
        <v>12.680192</v>
      </c>
      <c r="R12" s="15">
        <v>12.685312</v>
      </c>
      <c r="S12" s="15">
        <v>12.686336000000001</v>
      </c>
      <c r="T12" s="17">
        <v>12.68736</v>
      </c>
      <c r="U12" s="17">
        <v>12.691456000000001</v>
      </c>
      <c r="V12" s="17">
        <v>12.693504000000001</v>
      </c>
      <c r="W12" s="17">
        <v>12.704768</v>
      </c>
      <c r="X12" s="17">
        <v>47.355904000000002</v>
      </c>
    </row>
    <row r="13" spans="2:24" x14ac:dyDescent="0.3">
      <c r="B13" s="4">
        <v>3600</v>
      </c>
      <c r="C13" s="5" t="s">
        <v>3</v>
      </c>
      <c r="D13" s="3">
        <f t="shared" si="0"/>
        <v>10.8780544</v>
      </c>
      <c r="E13" s="20">
        <v>9.0951679999999993</v>
      </c>
      <c r="F13" s="20">
        <v>10.729471999999999</v>
      </c>
      <c r="G13" s="20">
        <v>10.853376000000001</v>
      </c>
      <c r="H13" s="20">
        <v>10.85952</v>
      </c>
      <c r="I13" s="20">
        <v>10.860544000000001</v>
      </c>
      <c r="J13" s="6">
        <v>10.865664000000001</v>
      </c>
      <c r="K13" s="6">
        <v>10.868736</v>
      </c>
      <c r="L13" s="6">
        <v>10.871808</v>
      </c>
      <c r="M13" s="6">
        <v>10.872832000000001</v>
      </c>
      <c r="N13" s="6">
        <v>10.88</v>
      </c>
      <c r="O13" s="6">
        <v>10.881024</v>
      </c>
      <c r="P13" s="6">
        <v>10.883072</v>
      </c>
      <c r="Q13" s="6">
        <v>10.884096</v>
      </c>
      <c r="R13" s="6">
        <v>10.885120000000001</v>
      </c>
      <c r="S13" s="6">
        <v>10.888192</v>
      </c>
      <c r="T13" s="20">
        <v>10.888192</v>
      </c>
      <c r="U13" s="20">
        <v>10.89024</v>
      </c>
      <c r="V13" s="20">
        <v>10.902528</v>
      </c>
      <c r="W13" s="20">
        <v>28.406783999999998</v>
      </c>
      <c r="X13" s="20">
        <v>29.138943999999999</v>
      </c>
    </row>
    <row r="14" spans="2:24" x14ac:dyDescent="0.3">
      <c r="B14" s="4">
        <v>3600</v>
      </c>
      <c r="C14" s="5" t="s">
        <v>4</v>
      </c>
      <c r="D14" s="3">
        <f t="shared" si="0"/>
        <v>40.867430399999996</v>
      </c>
      <c r="E14" s="20">
        <v>4.49472</v>
      </c>
      <c r="F14" s="20">
        <v>35.716096</v>
      </c>
      <c r="G14" s="20">
        <v>37.671936000000002</v>
      </c>
      <c r="H14" s="20">
        <v>37.940224000000001</v>
      </c>
      <c r="I14" s="20">
        <v>38.136831999999998</v>
      </c>
      <c r="J14" s="6">
        <v>38.890495999999999</v>
      </c>
      <c r="K14" s="6">
        <v>38.966271999999996</v>
      </c>
      <c r="L14" s="6">
        <v>39.660544000000002</v>
      </c>
      <c r="M14" s="6">
        <v>40.766463999999999</v>
      </c>
      <c r="N14" s="6">
        <v>41.019392000000003</v>
      </c>
      <c r="O14" s="6">
        <v>41.190399999999997</v>
      </c>
      <c r="P14" s="6">
        <v>41.405439999999999</v>
      </c>
      <c r="Q14" s="6">
        <v>42.010624</v>
      </c>
      <c r="R14" s="6">
        <v>42.230784</v>
      </c>
      <c r="S14" s="6">
        <v>42.533887999999997</v>
      </c>
      <c r="T14" s="20">
        <v>43.656056</v>
      </c>
      <c r="U14" s="20">
        <v>44.116992000000003</v>
      </c>
      <c r="V14" s="20">
        <v>45.042687999999998</v>
      </c>
      <c r="W14" s="20">
        <v>45.668351999999999</v>
      </c>
      <c r="X14" s="20">
        <v>46.674944000000004</v>
      </c>
    </row>
    <row r="15" spans="2:24" ht="15" thickBot="1" x14ac:dyDescent="0.35">
      <c r="B15" s="8">
        <v>3600</v>
      </c>
      <c r="C15" s="9" t="s">
        <v>5</v>
      </c>
      <c r="D15" s="3">
        <f t="shared" si="0"/>
        <v>214.09148535999998</v>
      </c>
      <c r="E15" s="20">
        <v>196.92544000000001</v>
      </c>
      <c r="F15" s="20">
        <v>199.17926399999999</v>
      </c>
      <c r="G15" s="20">
        <v>205.672448</v>
      </c>
      <c r="H15" s="20">
        <v>206.56742399999999</v>
      </c>
      <c r="I15" s="20">
        <v>207.316992</v>
      </c>
      <c r="J15" s="6">
        <v>209.39878400000001</v>
      </c>
      <c r="K15" s="6">
        <v>209.75103999999999</v>
      </c>
      <c r="L15" s="6">
        <v>210.29478399999999</v>
      </c>
      <c r="M15" s="6">
        <v>213.49785600000001</v>
      </c>
      <c r="N15" s="6">
        <v>214.33139199999999</v>
      </c>
      <c r="O15" s="6">
        <v>215.43219199999999</v>
      </c>
      <c r="P15" s="6">
        <v>215.72584000000001</v>
      </c>
      <c r="Q15" s="6">
        <v>216.20162160000001</v>
      </c>
      <c r="R15" s="6">
        <v>217.50579200000001</v>
      </c>
      <c r="S15" s="6">
        <v>218.775552</v>
      </c>
      <c r="T15" s="20">
        <v>219.38687999999999</v>
      </c>
      <c r="U15" s="20">
        <v>219.89990399999999</v>
      </c>
      <c r="V15" s="20">
        <v>220.17843199999999</v>
      </c>
      <c r="W15" s="20">
        <v>220.362752</v>
      </c>
      <c r="X15" s="20">
        <v>222.375936</v>
      </c>
    </row>
  </sheetData>
  <sortState xmlns:xlrd2="http://schemas.microsoft.com/office/spreadsheetml/2017/richdata2" columnSort="1" ref="E15:X15">
    <sortCondition ref="E15:X15"/>
  </sortState>
  <pageMargins left="0.7" right="0.7" top="0.75" bottom="0.75" header="0.3" footer="0.3"/>
  <ignoredErrors>
    <ignoredError sqref="D4 D5:D1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SSAO</vt:lpstr>
      <vt:lpstr>HBAO</vt:lpstr>
      <vt:lpstr>GTAO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 Demaecker</dc:creator>
  <cp:lastModifiedBy>Daan Demaecker</cp:lastModifiedBy>
  <dcterms:created xsi:type="dcterms:W3CDTF">2015-06-05T18:19:34Z</dcterms:created>
  <dcterms:modified xsi:type="dcterms:W3CDTF">2025-08-18T17:12:56Z</dcterms:modified>
</cp:coreProperties>
</file>